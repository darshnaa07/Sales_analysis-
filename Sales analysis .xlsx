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sales data" sheetId="1" r:id="rId5"/>
    <sheet state="visible" name="salesdata" sheetId="2" r:id="rId6"/>
    <sheet state="visible" name="summary " sheetId="3" r:id="rId7"/>
  </sheets>
  <definedNames/>
  <calcPr/>
</workbook>
</file>

<file path=xl/sharedStrings.xml><?xml version="1.0" encoding="utf-8"?>
<sst xmlns="http://schemas.openxmlformats.org/spreadsheetml/2006/main" count="332" uniqueCount="72">
  <si>
    <t>ORDER ID</t>
  </si>
  <si>
    <t>DATE</t>
  </si>
  <si>
    <t>PRODUCT</t>
  </si>
  <si>
    <t>CATEGORY</t>
  </si>
  <si>
    <t xml:space="preserve">QUANTITY </t>
  </si>
  <si>
    <t>PRICE</t>
  </si>
  <si>
    <t xml:space="preserve">SALESPERSON </t>
  </si>
  <si>
    <t>CITY</t>
  </si>
  <si>
    <t>P001</t>
  </si>
  <si>
    <t>laptop</t>
  </si>
  <si>
    <t xml:space="preserve">electronics </t>
  </si>
  <si>
    <t>TOTAL SALES</t>
  </si>
  <si>
    <t>Rahul</t>
  </si>
  <si>
    <t>Delhi</t>
  </si>
  <si>
    <t>P002</t>
  </si>
  <si>
    <t>mouse</t>
  </si>
  <si>
    <t xml:space="preserve">accessories </t>
  </si>
  <si>
    <t>Priya</t>
  </si>
  <si>
    <t xml:space="preserve">Lucknow </t>
  </si>
  <si>
    <t>P003</t>
  </si>
  <si>
    <t xml:space="preserve">keyboard </t>
  </si>
  <si>
    <t>Amit</t>
  </si>
  <si>
    <t xml:space="preserve">Noida </t>
  </si>
  <si>
    <t>P004</t>
  </si>
  <si>
    <t>monitor</t>
  </si>
  <si>
    <t>Neha</t>
  </si>
  <si>
    <t xml:space="preserve">Delhi </t>
  </si>
  <si>
    <t>P005</t>
  </si>
  <si>
    <t xml:space="preserve">headphones </t>
  </si>
  <si>
    <t xml:space="preserve">Mumbai </t>
  </si>
  <si>
    <t>P006</t>
  </si>
  <si>
    <t xml:space="preserve">laptop </t>
  </si>
  <si>
    <t>P007</t>
  </si>
  <si>
    <t>P008</t>
  </si>
  <si>
    <t>P009</t>
  </si>
  <si>
    <t xml:space="preserve">monitor </t>
  </si>
  <si>
    <t>P010</t>
  </si>
  <si>
    <t>P011</t>
  </si>
  <si>
    <t>P012</t>
  </si>
  <si>
    <t xml:space="preserve">mouse </t>
  </si>
  <si>
    <t xml:space="preserve">kanpur 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</si>
  <si>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</si>
  <si>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</si>
  <si>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</si>
  <si>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</si>
  <si>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</si>
  <si>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</si>
  <si>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</si>
  <si>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</si>
  <si>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</si>
  <si>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</si>
  <si>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</si>
  <si>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</si>
  <si>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</si>
  <si>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</si>
  <si>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</si>
  <si>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 xml:space="preserve">Kanpur </t>
  </si>
  <si>
    <t>P028</t>
  </si>
  <si>
    <t>P029</t>
  </si>
  <si>
    <t>P030</t>
  </si>
  <si>
    <t xml:space="preserve">SALES ANALYSIS PROJECT </t>
  </si>
  <si>
    <t>Metric</t>
  </si>
  <si>
    <t xml:space="preserve">Result </t>
  </si>
  <si>
    <t>Total sales</t>
  </si>
  <si>
    <t>Total orders</t>
  </si>
  <si>
    <t>Total quantity sold</t>
  </si>
  <si>
    <t>Average order value</t>
  </si>
  <si>
    <t>Highest sale</t>
  </si>
  <si>
    <t>Lowest sale</t>
  </si>
  <si>
    <t xml:space="preserve">Salesperson </t>
  </si>
  <si>
    <t xml:space="preserve">Total sales </t>
  </si>
  <si>
    <t xml:space="preserve">Amit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</si>
</sst>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sz val="36.0"/>
      <color theme="1"/>
      <name val="Arial"/>
      <scheme val="minor"/>
    </font>
    <font>
      <b/>
      <u/>
      <sz val="18.0"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0" fontId="1" numFmtId="164" xfId="0" applyAlignment="1" applyFont="1" applyNumberFormat="1">
      <alignment readingOrder="0"/>
    </xf>
    <xf borderId="1" fillId="2" fontId="3" numFmtId="0" xfId="0" applyAlignment="1" applyBorder="1" applyFill="1" applyFont="1">
      <alignment readingOrder="0" vertical="center"/>
    </xf>
    <xf borderId="1" fillId="3" fontId="1" numFmtId="0" xfId="0" applyAlignment="1" applyBorder="1" applyFill="1" applyFont="1">
      <alignment horizontal="center" readingOrder="0"/>
    </xf>
    <xf borderId="1" fillId="3" fontId="1" numFmtId="164" xfId="0" applyAlignment="1" applyBorder="1" applyFill="1" applyFont="1" applyNumberFormat="1">
      <alignment horizontal="center" readingOrder="0"/>
    </xf>
    <xf borderId="1" fillId="3" fontId="1" numFmtId="0" xfId="0" applyAlignment="1" applyBorder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1" fillId="4" fontId="7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/>
    </xf>
    <xf borderId="1" fillId="6" fontId="8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readingOrder="0"/>
    </xf>
    <xf borderId="1" fillId="7" fontId="9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SALES BY SALESPERSON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'summary '!$B$17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'summary '!$A$18:$A$21</c:f>
            </c:strRef>
          </c:cat>
          <c:val>
            <c:numRef>
              <c:f>'summary '!$B$18:$B$21</c:f>
              <c:numCache/>
            </c:numRef>
          </c:val>
        </c:ser>
        <c:axId val="419147045"/>
        <c:axId val="1961112507"/>
      </c:barChart>
      <c:catAx>
        <c:axId val="419147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Salesperson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112507"/>
      </c:catAx>
      <c:valAx>
        <c:axId val="1961112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147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5</xdr:row>
      <xdr:rowOff>0</xdr:rowOff>
    </xdr:from>
    <xdr:ext cx="4400550" cy="3562350"/>
    <xdr:graphicFrame>
      <xdr:nvGraphicFramePr>
        <xdr:cNvPr id="1" name="Chart 1" title="SALES BY SALESPERSON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3">
        <v>46235.0</v>
      </c>
      <c r="C2" s="1" t="s">
        <v>9</v>
      </c>
      <c r="D2" s="1" t="s">
        <v>10</v>
      </c>
      <c r="E2" s="1">
        <v>2.0</v>
      </c>
      <c r="F2" s="1">
        <v>45000.0</v>
      </c>
      <c r="G2" s="1" t="s">
        <v>12</v>
      </c>
      <c r="H2" s="1" t="s">
        <v>13</v>
      </c>
    </row>
    <row r="3">
      <c r="A3" s="1" t="s">
        <v>14</v>
      </c>
      <c r="B3" s="3">
        <v>46236.0</v>
      </c>
      <c r="C3" s="1" t="s">
        <v>15</v>
      </c>
      <c r="D3" s="1" t="s">
        <v>16</v>
      </c>
      <c r="E3" s="1">
        <v>5.0</v>
      </c>
      <c r="F3" s="1">
        <v>800.0</v>
      </c>
      <c r="G3" s="1" t="s">
        <v>17</v>
      </c>
      <c r="H3" s="1" t="s">
        <v>18</v>
      </c>
    </row>
    <row r="4">
      <c r="A4" s="1" t="s">
        <v>19</v>
      </c>
      <c r="B4" s="3">
        <v>46237.0</v>
      </c>
      <c r="C4" s="1" t="s">
        <v>20</v>
      </c>
      <c r="D4" s="1" t="s">
        <v>16</v>
      </c>
      <c r="E4" s="1">
        <v>3.0</v>
      </c>
      <c r="F4" s="1">
        <v>1500.0</v>
      </c>
      <c r="G4" s="1" t="s">
        <v>21</v>
      </c>
      <c r="H4" s="1" t="s">
        <v>22</v>
      </c>
    </row>
    <row r="5">
      <c r="A5" s="1" t="s">
        <v>23</v>
      </c>
      <c r="B5" s="3">
        <v>46238.0</v>
      </c>
      <c r="C5" s="1" t="s">
        <v>24</v>
      </c>
      <c r="D5" s="1" t="s">
        <v>10</v>
      </c>
      <c r="E5" s="1">
        <v>2.0</v>
      </c>
      <c r="F5" s="1">
        <v>12000.0</v>
      </c>
      <c r="G5" s="1" t="s">
        <v>25</v>
      </c>
      <c r="H5" s="1" t="s">
        <v>26</v>
      </c>
    </row>
    <row r="6">
      <c r="A6" s="1" t="s">
        <v>27</v>
      </c>
      <c r="B6" s="3">
        <v>46239.0</v>
      </c>
      <c r="C6" s="1" t="s">
        <v>28</v>
      </c>
      <c r="D6" s="1" t="s">
        <v>16</v>
      </c>
      <c r="E6" s="1">
        <v>4.0</v>
      </c>
      <c r="F6" s="1">
        <v>2500.0</v>
      </c>
      <c r="G6" s="1" t="s">
        <v>12</v>
      </c>
      <c r="H6" s="1" t="s">
        <v>29</v>
      </c>
    </row>
    <row r="7">
      <c r="A7" s="1" t="s">
        <v>30</v>
      </c>
      <c r="B7" s="3">
        <v>46240.0</v>
      </c>
      <c r="C7" s="1" t="s">
        <v>31</v>
      </c>
      <c r="D7" s="1" t="s">
        <v>10</v>
      </c>
      <c r="E7" s="1">
        <v>1.0</v>
      </c>
      <c r="F7" s="1">
        <v>52000.0</v>
      </c>
      <c r="G7" s="1" t="s">
        <v>17</v>
      </c>
      <c r="H7" s="1" t="s">
        <v>22</v>
      </c>
    </row>
    <row r="8">
      <c r="A8" s="1" t="s">
        <v>32</v>
      </c>
      <c r="B8" s="3">
        <v>46241.0</v>
      </c>
      <c r="C8" s="1" t="s">
        <v>15</v>
      </c>
      <c r="D8" s="1" t="s">
        <v>16</v>
      </c>
      <c r="E8" s="1">
        <v>8.0</v>
      </c>
      <c r="F8" s="1">
        <v>750.0</v>
      </c>
      <c r="G8" s="1" t="s">
        <v>21</v>
      </c>
      <c r="H8" s="1" t="s">
        <v>18</v>
      </c>
    </row>
    <row r="9">
      <c r="A9" s="1" t="s">
        <v>33</v>
      </c>
      <c r="B9" s="3">
        <v>46242.0</v>
      </c>
      <c r="C9" s="1" t="s">
        <v>20</v>
      </c>
      <c r="D9" s="1" t="s">
        <v>16</v>
      </c>
      <c r="E9" s="1">
        <v>4.0</v>
      </c>
      <c r="F9" s="1">
        <v>1800.0</v>
      </c>
      <c r="G9" s="1" t="s">
        <v>25</v>
      </c>
      <c r="H9" s="1" t="s">
        <v>29</v>
      </c>
    </row>
    <row r="10">
      <c r="A10" s="1" t="s">
        <v>34</v>
      </c>
      <c r="B10" s="3">
        <v>46243.0</v>
      </c>
      <c r="C10" s="1" t="s">
        <v>35</v>
      </c>
      <c r="D10" s="1" t="s">
        <v>10</v>
      </c>
      <c r="E10" s="1">
        <v>3.0</v>
      </c>
      <c r="F10" s="1">
        <v>11000.0</v>
      </c>
      <c r="G10" s="1" t="s">
        <v>12</v>
      </c>
      <c r="H10" s="1" t="s">
        <v>26</v>
      </c>
    </row>
    <row r="11">
      <c r="A11" s="1" t="s">
        <v>36</v>
      </c>
      <c r="B11" s="3">
        <v>46244.0</v>
      </c>
      <c r="C11" s="1" t="s">
        <v>28</v>
      </c>
      <c r="D11" s="1" t="s">
        <v>16</v>
      </c>
      <c r="E11" s="1">
        <v>6.0</v>
      </c>
      <c r="F11" s="1">
        <v>2200.0</v>
      </c>
      <c r="G11" s="1" t="s">
        <v>17</v>
      </c>
      <c r="H11" s="1" t="s">
        <v>18</v>
      </c>
    </row>
    <row r="12">
      <c r="A12" s="1" t="s">
        <v>37</v>
      </c>
      <c r="B12" s="3">
        <v>46245.0</v>
      </c>
      <c r="C12" s="1" t="s">
        <v>31</v>
      </c>
      <c r="D12" s="1" t="s">
        <v>10</v>
      </c>
      <c r="E12" s="1">
        <v>2.0</v>
      </c>
      <c r="F12" s="1">
        <v>48000.0</v>
      </c>
      <c r="G12" s="1" t="s">
        <v>21</v>
      </c>
      <c r="H12" s="1" t="s">
        <v>29</v>
      </c>
    </row>
    <row r="13">
      <c r="A13" s="1" t="s">
        <v>38</v>
      </c>
      <c r="B13" s="3">
        <v>46246.0</v>
      </c>
      <c r="C13" s="1" t="s">
        <v>39</v>
      </c>
      <c r="D13" s="1" t="s">
        <v>16</v>
      </c>
      <c r="E13" s="1">
        <v>10.0</v>
      </c>
      <c r="F13" s="1">
        <v>700.0</v>
      </c>
      <c r="G13" s="1" t="s">
        <v>25</v>
      </c>
      <c r="H13" s="1" t="s">
        <v>40</v>
      </c>
    </row>
    <row r="14">
      <c r="A14" s="1" t="s">
        <v>41</v>
      </c>
      <c r="B14" s="3">
        <v>46247.0</v>
      </c>
      <c r="C14" s="1" t="s">
        <v>20</v>
      </c>
      <c r="D14" s="1" t="s">
        <v>16</v>
      </c>
      <c r="E14" s="1">
        <v>5.0</v>
      </c>
      <c r="F14" s="1">
        <v>1600.0</v>
      </c>
      <c r="G14" s="1" t="s">
        <v>12</v>
      </c>
      <c r="H14" s="1" t="s">
        <v>22</v>
      </c>
    </row>
    <row r="15">
      <c r="A15" s="1" t="s">
        <v>42</v>
      </c>
      <c r="B15" s="3">
        <v>46248.0</v>
      </c>
      <c r="C15" s="1" t="s">
        <v>35</v>
      </c>
      <c r="D15" s="1" t="s">
        <v>10</v>
      </c>
      <c r="E15" s="1">
        <v>1.0</v>
      </c>
      <c r="F15" s="1">
        <v>13500.0</v>
      </c>
      <c r="G15" s="1" t="s">
        <v>17</v>
      </c>
      <c r="H15" s="1" t="s">
        <v>26</v>
      </c>
    </row>
    <row r="16">
      <c r="A16" s="1" t="s">
        <v>43</v>
      </c>
      <c r="B16" s="3">
        <v>46249.0</v>
      </c>
      <c r="C16" s="1" t="s">
        <v>28</v>
      </c>
      <c r="D16" s="1" t="s">
        <v>16</v>
      </c>
      <c r="E16" s="1">
        <v>3.0</v>
      </c>
      <c r="F16" s="1">
        <v>2800.0</v>
      </c>
      <c r="G16" s="1" t="s">
        <v>21</v>
      </c>
      <c r="H16" s="1" t="s">
        <v>29</v>
      </c>
    </row>
    <row r="17">
      <c r="A17" s="1" t="s">
        <v>44</v>
      </c>
      <c r="B17" s="3">
        <v>46250.0</v>
      </c>
      <c r="C17" s="1" t="s">
        <v>31</v>
      </c>
      <c r="D17" s="1" t="s">
        <v>10</v>
      </c>
      <c r="E17" s="1">
        <v>1.0</v>
      </c>
      <c r="F17" s="1">
        <v>55000.0</v>
      </c>
      <c r="G17" s="1" t="s">
        <v>25</v>
      </c>
      <c r="H17" s="1" t="s">
        <v>13</v>
      </c>
    </row>
    <row r="18">
      <c r="A18" s="1" t="s">
        <v>45</v>
      </c>
      <c r="B18" s="3">
        <v>46251.0</v>
      </c>
      <c r="C18" s="1" t="s">
        <v>39</v>
      </c>
      <c r="D18" s="1" t="s">
        <v>16</v>
      </c>
      <c r="E18" s="1">
        <v>7.0</v>
      </c>
      <c r="F18" s="1">
        <v>850.0</v>
      </c>
      <c r="G18" s="1" t="s">
        <v>12</v>
      </c>
      <c r="H18" s="1" t="s">
        <v>18</v>
      </c>
    </row>
    <row r="19">
      <c r="A19" s="1" t="s">
        <v>46</v>
      </c>
      <c r="B19" s="3">
        <v>46252.0</v>
      </c>
      <c r="C19" s="1" t="s">
        <v>20</v>
      </c>
      <c r="D19" s="1" t="s">
        <v>16</v>
      </c>
      <c r="E19" s="1">
        <v>6.0</v>
      </c>
      <c r="F19" s="1">
        <v>1400.0</v>
      </c>
      <c r="G19" s="1" t="s">
        <v>17</v>
      </c>
      <c r="H19" s="1" t="s">
        <v>22</v>
      </c>
    </row>
    <row r="20">
      <c r="A20" s="1" t="s">
        <v>47</v>
      </c>
      <c r="B20" s="3">
        <v>46253.0</v>
      </c>
      <c r="C20" s="1" t="s">
        <v>35</v>
      </c>
      <c r="D20" s="1" t="s">
        <v>10</v>
      </c>
      <c r="E20" s="1">
        <v>2.0</v>
      </c>
      <c r="F20" s="1">
        <v>12500.0</v>
      </c>
      <c r="G20" s="1" t="s">
        <v>21</v>
      </c>
      <c r="H20" s="1" t="s">
        <v>26</v>
      </c>
    </row>
    <row r="21">
      <c r="A21" s="1" t="s">
        <v>48</v>
      </c>
      <c r="B21" s="3">
        <v>46254.0</v>
      </c>
      <c r="C21" s="1" t="s">
        <v>28</v>
      </c>
      <c r="D21" s="1" t="s">
        <v>16</v>
      </c>
      <c r="E21" s="1">
        <v>5.0</v>
      </c>
      <c r="F21" s="1">
        <v>2400.0</v>
      </c>
      <c r="G21" s="1" t="s">
        <v>25</v>
      </c>
      <c r="H21" s="1" t="s">
        <v>29</v>
      </c>
    </row>
    <row r="22">
      <c r="A22" s="1" t="s">
        <v>49</v>
      </c>
      <c r="B22" s="3">
        <v>46255.0</v>
      </c>
      <c r="C22" s="1" t="s">
        <v>31</v>
      </c>
      <c r="D22" s="1" t="s">
        <v>10</v>
      </c>
      <c r="E22" s="1">
        <v>3.0</v>
      </c>
      <c r="F22" s="1">
        <v>46000.0</v>
      </c>
      <c r="G22" s="1" t="s">
        <v>12</v>
      </c>
      <c r="H22" s="1" t="s">
        <v>22</v>
      </c>
    </row>
    <row r="23">
      <c r="A23" s="1" t="s">
        <v>50</v>
      </c>
      <c r="B23" s="3">
        <v>46256.0</v>
      </c>
      <c r="C23" s="1" t="s">
        <v>39</v>
      </c>
      <c r="D23" s="1" t="s">
        <v>16</v>
      </c>
      <c r="E23" s="1">
        <v>9.0</v>
      </c>
      <c r="F23" s="1">
        <v>650.0</v>
      </c>
      <c r="G23" s="1" t="s">
        <v>17</v>
      </c>
      <c r="H23" s="1" t="s">
        <v>18</v>
      </c>
    </row>
    <row r="24">
      <c r="A24" s="1" t="s">
        <v>51</v>
      </c>
      <c r="B24" s="3">
        <v>46257.0</v>
      </c>
      <c r="C24" s="1" t="s">
        <v>20</v>
      </c>
      <c r="D24" s="1" t="s">
        <v>16</v>
      </c>
      <c r="E24" s="1">
        <v>2.0</v>
      </c>
      <c r="F24" s="1">
        <v>1700.0</v>
      </c>
      <c r="G24" s="1" t="s">
        <v>21</v>
      </c>
      <c r="H24" s="1" t="s">
        <v>29</v>
      </c>
    </row>
    <row r="25">
      <c r="A25" s="1" t="s">
        <v>52</v>
      </c>
      <c r="B25" s="3">
        <v>46258.0</v>
      </c>
      <c r="C25" s="1" t="s">
        <v>35</v>
      </c>
      <c r="D25" s="1" t="s">
        <v>10</v>
      </c>
      <c r="E25" s="1">
        <v>4.0</v>
      </c>
      <c r="F25" s="1">
        <v>10500.0</v>
      </c>
      <c r="G25" s="1" t="s">
        <v>25</v>
      </c>
      <c r="H25" s="1" t="s">
        <v>26</v>
      </c>
    </row>
    <row r="26">
      <c r="A26" s="1" t="s">
        <v>53</v>
      </c>
      <c r="B26" s="3">
        <v>46259.0</v>
      </c>
      <c r="C26" s="1" t="s">
        <v>28</v>
      </c>
      <c r="D26" s="1" t="s">
        <v>16</v>
      </c>
      <c r="E26" s="1">
        <v>7.0</v>
      </c>
      <c r="F26" s="1">
        <v>2100.0</v>
      </c>
      <c r="G26" s="1" t="s">
        <v>12</v>
      </c>
      <c r="H26" s="1" t="s">
        <v>18</v>
      </c>
    </row>
    <row r="27">
      <c r="A27" s="1" t="s">
        <v>54</v>
      </c>
      <c r="B27" s="3">
        <v>46260.0</v>
      </c>
      <c r="C27" s="1" t="s">
        <v>31</v>
      </c>
      <c r="D27" s="1" t="s">
        <v>10</v>
      </c>
      <c r="E27" s="1">
        <v>2.0</v>
      </c>
      <c r="F27" s="1">
        <v>50000.0</v>
      </c>
      <c r="G27" s="1" t="s">
        <v>17</v>
      </c>
      <c r="H27" s="1" t="s">
        <v>29</v>
      </c>
    </row>
    <row r="28">
      <c r="A28" s="1" t="s">
        <v>55</v>
      </c>
      <c r="B28" s="3">
        <v>46261.0</v>
      </c>
      <c r="C28" s="1" t="s">
        <v>39</v>
      </c>
      <c r="D28" s="1" t="s">
        <v>16</v>
      </c>
      <c r="E28" s="1">
        <v>6.0</v>
      </c>
      <c r="F28" s="1">
        <v>900.0</v>
      </c>
      <c r="G28" s="1" t="s">
        <v>21</v>
      </c>
      <c r="H28" s="1" t="s">
        <v>56</v>
      </c>
    </row>
    <row r="29">
      <c r="A29" s="1" t="s">
        <v>57</v>
      </c>
      <c r="B29" s="3">
        <v>46262.0</v>
      </c>
      <c r="C29" s="1" t="s">
        <v>20</v>
      </c>
      <c r="D29" s="1" t="s">
        <v>16</v>
      </c>
      <c r="E29" s="1">
        <v>4.0</v>
      </c>
      <c r="F29" s="1">
        <v>1550.0</v>
      </c>
      <c r="G29" s="1" t="s">
        <v>25</v>
      </c>
      <c r="H29" s="1" t="s">
        <v>22</v>
      </c>
    </row>
    <row r="30">
      <c r="A30" s="1" t="s">
        <v>58</v>
      </c>
      <c r="B30" s="3">
        <v>46263.0</v>
      </c>
      <c r="C30" s="1" t="s">
        <v>35</v>
      </c>
      <c r="D30" s="1" t="s">
        <v>10</v>
      </c>
      <c r="E30" s="1">
        <v>2.0</v>
      </c>
      <c r="F30" s="1">
        <v>11800.0</v>
      </c>
      <c r="G30" s="1" t="s">
        <v>12</v>
      </c>
      <c r="H30" s="1" t="s">
        <v>26</v>
      </c>
    </row>
    <row r="31">
      <c r="A31" s="1" t="s">
        <v>59</v>
      </c>
      <c r="B31" s="3">
        <v>46264.0</v>
      </c>
      <c r="C31" s="1" t="s">
        <v>28</v>
      </c>
      <c r="D31" s="1" t="s">
        <v>16</v>
      </c>
      <c r="E31" s="1">
        <v>5.0</v>
      </c>
      <c r="F31" s="1">
        <v>2600.0</v>
      </c>
      <c r="G31" s="1" t="s">
        <v>17</v>
      </c>
      <c r="H31" s="1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0"/>
  </cols>
  <sheetData>
    <row r="1" ht="39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11</v>
      </c>
    </row>
    <row r="2">
      <c r="A2" s="5" t="s">
        <v>8</v>
      </c>
      <c r="B2" s="6">
        <v>46235.0</v>
      </c>
      <c r="C2" s="5" t="s">
        <v>9</v>
      </c>
      <c r="D2" s="5" t="s">
        <v>10</v>
      </c>
      <c r="E2" s="5">
        <v>2.0</v>
      </c>
      <c r="F2" s="5">
        <v>45000.0</v>
      </c>
      <c r="G2" s="5" t="s">
        <v>12</v>
      </c>
      <c r="H2" s="5" t="s">
        <v>13</v>
      </c>
      <c r="I2" s="7">
        <f t="shared" ref="I2:I31" si="1">E2*F2</f>
        <v>90000</v>
      </c>
    </row>
    <row r="3">
      <c r="A3" s="5" t="s">
        <v>14</v>
      </c>
      <c r="B3" s="6">
        <v>46236.0</v>
      </c>
      <c r="C3" s="5" t="s">
        <v>15</v>
      </c>
      <c r="D3" s="5" t="s">
        <v>16</v>
      </c>
      <c r="E3" s="5">
        <v>5.0</v>
      </c>
      <c r="F3" s="5">
        <v>800.0</v>
      </c>
      <c r="G3" s="5" t="s">
        <v>17</v>
      </c>
      <c r="H3" s="5" t="s">
        <v>18</v>
      </c>
      <c r="I3" s="7">
        <f t="shared" si="1"/>
        <v>4000</v>
      </c>
    </row>
    <row r="4">
      <c r="A4" s="5" t="s">
        <v>19</v>
      </c>
      <c r="B4" s="6">
        <v>46237.0</v>
      </c>
      <c r="C4" s="5" t="s">
        <v>20</v>
      </c>
      <c r="D4" s="5" t="s">
        <v>16</v>
      </c>
      <c r="E4" s="5">
        <v>3.0</v>
      </c>
      <c r="F4" s="5">
        <v>1500.0</v>
      </c>
      <c r="G4" s="5" t="s">
        <v>21</v>
      </c>
      <c r="H4" s="5" t="s">
        <v>22</v>
      </c>
      <c r="I4" s="7">
        <f t="shared" si="1"/>
        <v>4500</v>
      </c>
    </row>
    <row r="5">
      <c r="A5" s="5" t="s">
        <v>23</v>
      </c>
      <c r="B5" s="6">
        <v>46238.0</v>
      </c>
      <c r="C5" s="5" t="s">
        <v>24</v>
      </c>
      <c r="D5" s="5" t="s">
        <v>10</v>
      </c>
      <c r="E5" s="5">
        <v>2.0</v>
      </c>
      <c r="F5" s="5">
        <v>12000.0</v>
      </c>
      <c r="G5" s="5" t="s">
        <v>25</v>
      </c>
      <c r="H5" s="5" t="s">
        <v>26</v>
      </c>
      <c r="I5" s="7">
        <f t="shared" si="1"/>
        <v>24000</v>
      </c>
    </row>
    <row r="6">
      <c r="A6" s="5" t="s">
        <v>27</v>
      </c>
      <c r="B6" s="6">
        <v>46239.0</v>
      </c>
      <c r="C6" s="5" t="s">
        <v>28</v>
      </c>
      <c r="D6" s="5" t="s">
        <v>16</v>
      </c>
      <c r="E6" s="5">
        <v>4.0</v>
      </c>
      <c r="F6" s="5">
        <v>2500.0</v>
      </c>
      <c r="G6" s="5" t="s">
        <v>12</v>
      </c>
      <c r="H6" s="5" t="s">
        <v>29</v>
      </c>
      <c r="I6" s="7">
        <f t="shared" si="1"/>
        <v>10000</v>
      </c>
    </row>
    <row r="7">
      <c r="A7" s="5" t="s">
        <v>30</v>
      </c>
      <c r="B7" s="6">
        <v>46240.0</v>
      </c>
      <c r="C7" s="5" t="s">
        <v>31</v>
      </c>
      <c r="D7" s="5" t="s">
        <v>10</v>
      </c>
      <c r="E7" s="5">
        <v>1.0</v>
      </c>
      <c r="F7" s="5">
        <v>52000.0</v>
      </c>
      <c r="G7" s="5" t="s">
        <v>17</v>
      </c>
      <c r="H7" s="5" t="s">
        <v>22</v>
      </c>
      <c r="I7" s="7">
        <f t="shared" si="1"/>
        <v>52000</v>
      </c>
    </row>
    <row r="8">
      <c r="A8" s="5" t="s">
        <v>32</v>
      </c>
      <c r="B8" s="6">
        <v>46241.0</v>
      </c>
      <c r="C8" s="5" t="s">
        <v>15</v>
      </c>
      <c r="D8" s="5" t="s">
        <v>16</v>
      </c>
      <c r="E8" s="5">
        <v>8.0</v>
      </c>
      <c r="F8" s="5">
        <v>750.0</v>
      </c>
      <c r="G8" s="5" t="s">
        <v>21</v>
      </c>
      <c r="H8" s="5" t="s">
        <v>18</v>
      </c>
      <c r="I8" s="7">
        <f t="shared" si="1"/>
        <v>6000</v>
      </c>
    </row>
    <row r="9">
      <c r="A9" s="5" t="s">
        <v>33</v>
      </c>
      <c r="B9" s="6">
        <v>46242.0</v>
      </c>
      <c r="C9" s="5" t="s">
        <v>20</v>
      </c>
      <c r="D9" s="5" t="s">
        <v>16</v>
      </c>
      <c r="E9" s="5">
        <v>4.0</v>
      </c>
      <c r="F9" s="5">
        <v>1800.0</v>
      </c>
      <c r="G9" s="5" t="s">
        <v>25</v>
      </c>
      <c r="H9" s="5" t="s">
        <v>29</v>
      </c>
      <c r="I9" s="7">
        <f t="shared" si="1"/>
        <v>7200</v>
      </c>
    </row>
    <row r="10">
      <c r="A10" s="5" t="s">
        <v>34</v>
      </c>
      <c r="B10" s="6">
        <v>46243.0</v>
      </c>
      <c r="C10" s="5" t="s">
        <v>35</v>
      </c>
      <c r="D10" s="5" t="s">
        <v>10</v>
      </c>
      <c r="E10" s="5">
        <v>3.0</v>
      </c>
      <c r="F10" s="5">
        <v>11000.0</v>
      </c>
      <c r="G10" s="5" t="s">
        <v>12</v>
      </c>
      <c r="H10" s="5" t="s">
        <v>26</v>
      </c>
      <c r="I10" s="7">
        <f t="shared" si="1"/>
        <v>33000</v>
      </c>
    </row>
    <row r="11">
      <c r="A11" s="5" t="s">
        <v>36</v>
      </c>
      <c r="B11" s="6">
        <v>46244.0</v>
      </c>
      <c r="C11" s="5" t="s">
        <v>28</v>
      </c>
      <c r="D11" s="5" t="s">
        <v>16</v>
      </c>
      <c r="E11" s="5">
        <v>6.0</v>
      </c>
      <c r="F11" s="5">
        <v>2200.0</v>
      </c>
      <c r="G11" s="5" t="s">
        <v>17</v>
      </c>
      <c r="H11" s="5" t="s">
        <v>18</v>
      </c>
      <c r="I11" s="7">
        <f t="shared" si="1"/>
        <v>13200</v>
      </c>
    </row>
    <row r="12">
      <c r="A12" s="5" t="s">
        <v>37</v>
      </c>
      <c r="B12" s="6">
        <v>46245.0</v>
      </c>
      <c r="C12" s="5" t="s">
        <v>31</v>
      </c>
      <c r="D12" s="5" t="s">
        <v>10</v>
      </c>
      <c r="E12" s="5">
        <v>2.0</v>
      </c>
      <c r="F12" s="5">
        <v>48000.0</v>
      </c>
      <c r="G12" s="5" t="s">
        <v>21</v>
      </c>
      <c r="H12" s="5" t="s">
        <v>29</v>
      </c>
      <c r="I12" s="7">
        <f t="shared" si="1"/>
        <v>96000</v>
      </c>
    </row>
    <row r="13">
      <c r="A13" s="5" t="s">
        <v>38</v>
      </c>
      <c r="B13" s="6">
        <v>46246.0</v>
      </c>
      <c r="C13" s="5" t="s">
        <v>39</v>
      </c>
      <c r="D13" s="5" t="s">
        <v>16</v>
      </c>
      <c r="E13" s="5">
        <v>10.0</v>
      </c>
      <c r="F13" s="5">
        <v>700.0</v>
      </c>
      <c r="G13" s="5" t="s">
        <v>25</v>
      </c>
      <c r="H13" s="5" t="s">
        <v>40</v>
      </c>
      <c r="I13" s="7">
        <f t="shared" si="1"/>
        <v>7000</v>
      </c>
    </row>
    <row r="14">
      <c r="A14" s="5" t="s">
        <v>41</v>
      </c>
      <c r="B14" s="6">
        <v>46247.0</v>
      </c>
      <c r="C14" s="5" t="s">
        <v>20</v>
      </c>
      <c r="D14" s="5" t="s">
        <v>16</v>
      </c>
      <c r="E14" s="5">
        <v>5.0</v>
      </c>
      <c r="F14" s="5">
        <v>1600.0</v>
      </c>
      <c r="G14" s="5" t="s">
        <v>12</v>
      </c>
      <c r="H14" s="5" t="s">
        <v>22</v>
      </c>
      <c r="I14" s="7">
        <f t="shared" si="1"/>
        <v>8000</v>
      </c>
    </row>
    <row r="15">
      <c r="A15" s="5" t="s">
        <v>42</v>
      </c>
      <c r="B15" s="6">
        <v>46248.0</v>
      </c>
      <c r="C15" s="5" t="s">
        <v>35</v>
      </c>
      <c r="D15" s="5" t="s">
        <v>10</v>
      </c>
      <c r="E15" s="5">
        <v>1.0</v>
      </c>
      <c r="F15" s="5">
        <v>13500.0</v>
      </c>
      <c r="G15" s="5" t="s">
        <v>17</v>
      </c>
      <c r="H15" s="5" t="s">
        <v>26</v>
      </c>
      <c r="I15" s="7">
        <f t="shared" si="1"/>
        <v>13500</v>
      </c>
    </row>
    <row r="16">
      <c r="A16" s="5" t="s">
        <v>43</v>
      </c>
      <c r="B16" s="6">
        <v>46249.0</v>
      </c>
      <c r="C16" s="5" t="s">
        <v>28</v>
      </c>
      <c r="D16" s="5" t="s">
        <v>16</v>
      </c>
      <c r="E16" s="5">
        <v>3.0</v>
      </c>
      <c r="F16" s="5">
        <v>2800.0</v>
      </c>
      <c r="G16" s="5" t="s">
        <v>21</v>
      </c>
      <c r="H16" s="5" t="s">
        <v>29</v>
      </c>
      <c r="I16" s="7">
        <f t="shared" si="1"/>
        <v>8400</v>
      </c>
    </row>
    <row r="17">
      <c r="A17" s="5" t="s">
        <v>44</v>
      </c>
      <c r="B17" s="6">
        <v>46250.0</v>
      </c>
      <c r="C17" s="5" t="s">
        <v>31</v>
      </c>
      <c r="D17" s="5" t="s">
        <v>10</v>
      </c>
      <c r="E17" s="5">
        <v>1.0</v>
      </c>
      <c r="F17" s="5">
        <v>55000.0</v>
      </c>
      <c r="G17" s="5" t="s">
        <v>25</v>
      </c>
      <c r="H17" s="5" t="s">
        <v>13</v>
      </c>
      <c r="I17" s="7">
        <f t="shared" si="1"/>
        <v>55000</v>
      </c>
    </row>
    <row r="18">
      <c r="A18" s="5" t="s">
        <v>45</v>
      </c>
      <c r="B18" s="6">
        <v>46251.0</v>
      </c>
      <c r="C18" s="5" t="s">
        <v>39</v>
      </c>
      <c r="D18" s="5" t="s">
        <v>16</v>
      </c>
      <c r="E18" s="5">
        <v>7.0</v>
      </c>
      <c r="F18" s="5">
        <v>850.0</v>
      </c>
      <c r="G18" s="5" t="s">
        <v>12</v>
      </c>
      <c r="H18" s="5" t="s">
        <v>18</v>
      </c>
      <c r="I18" s="7">
        <f t="shared" si="1"/>
        <v>5950</v>
      </c>
    </row>
    <row r="19">
      <c r="A19" s="5" t="s">
        <v>46</v>
      </c>
      <c r="B19" s="6">
        <v>46252.0</v>
      </c>
      <c r="C19" s="5" t="s">
        <v>20</v>
      </c>
      <c r="D19" s="5" t="s">
        <v>16</v>
      </c>
      <c r="E19" s="5">
        <v>6.0</v>
      </c>
      <c r="F19" s="5">
        <v>1400.0</v>
      </c>
      <c r="G19" s="5" t="s">
        <v>17</v>
      </c>
      <c r="H19" s="5" t="s">
        <v>22</v>
      </c>
      <c r="I19" s="7">
        <f t="shared" si="1"/>
        <v>8400</v>
      </c>
    </row>
    <row r="20">
      <c r="A20" s="5" t="s">
        <v>47</v>
      </c>
      <c r="B20" s="6">
        <v>46253.0</v>
      </c>
      <c r="C20" s="5" t="s">
        <v>35</v>
      </c>
      <c r="D20" s="5" t="s">
        <v>10</v>
      </c>
      <c r="E20" s="5">
        <v>2.0</v>
      </c>
      <c r="F20" s="5">
        <v>12500.0</v>
      </c>
      <c r="G20" s="5" t="s">
        <v>21</v>
      </c>
      <c r="H20" s="5" t="s">
        <v>26</v>
      </c>
      <c r="I20" s="7">
        <f t="shared" si="1"/>
        <v>25000</v>
      </c>
    </row>
    <row r="21">
      <c r="A21" s="5" t="s">
        <v>48</v>
      </c>
      <c r="B21" s="6">
        <v>46254.0</v>
      </c>
      <c r="C21" s="5" t="s">
        <v>28</v>
      </c>
      <c r="D21" s="5" t="s">
        <v>16</v>
      </c>
      <c r="E21" s="5">
        <v>5.0</v>
      </c>
      <c r="F21" s="5">
        <v>2400.0</v>
      </c>
      <c r="G21" s="5" t="s">
        <v>25</v>
      </c>
      <c r="H21" s="5" t="s">
        <v>29</v>
      </c>
      <c r="I21" s="7">
        <f t="shared" si="1"/>
        <v>12000</v>
      </c>
    </row>
    <row r="22">
      <c r="A22" s="5" t="s">
        <v>49</v>
      </c>
      <c r="B22" s="6">
        <v>46255.0</v>
      </c>
      <c r="C22" s="5" t="s">
        <v>31</v>
      </c>
      <c r="D22" s="5" t="s">
        <v>10</v>
      </c>
      <c r="E22" s="5">
        <v>3.0</v>
      </c>
      <c r="F22" s="5">
        <v>46000.0</v>
      </c>
      <c r="G22" s="5" t="s">
        <v>12</v>
      </c>
      <c r="H22" s="5" t="s">
        <v>22</v>
      </c>
      <c r="I22" s="7">
        <f t="shared" si="1"/>
        <v>138000</v>
      </c>
    </row>
    <row r="23">
      <c r="A23" s="5" t="s">
        <v>50</v>
      </c>
      <c r="B23" s="6">
        <v>46256.0</v>
      </c>
      <c r="C23" s="5" t="s">
        <v>39</v>
      </c>
      <c r="D23" s="5" t="s">
        <v>16</v>
      </c>
      <c r="E23" s="5">
        <v>9.0</v>
      </c>
      <c r="F23" s="5">
        <v>650.0</v>
      </c>
      <c r="G23" s="5" t="s">
        <v>17</v>
      </c>
      <c r="H23" s="5" t="s">
        <v>18</v>
      </c>
      <c r="I23" s="7">
        <f t="shared" si="1"/>
        <v>5850</v>
      </c>
    </row>
    <row r="24">
      <c r="A24" s="5" t="s">
        <v>51</v>
      </c>
      <c r="B24" s="6">
        <v>46257.0</v>
      </c>
      <c r="C24" s="5" t="s">
        <v>20</v>
      </c>
      <c r="D24" s="5" t="s">
        <v>16</v>
      </c>
      <c r="E24" s="5">
        <v>2.0</v>
      </c>
      <c r="F24" s="5">
        <v>1700.0</v>
      </c>
      <c r="G24" s="5" t="s">
        <v>21</v>
      </c>
      <c r="H24" s="5" t="s">
        <v>29</v>
      </c>
      <c r="I24" s="7">
        <f t="shared" si="1"/>
        <v>3400</v>
      </c>
    </row>
    <row r="25">
      <c r="A25" s="5" t="s">
        <v>52</v>
      </c>
      <c r="B25" s="6">
        <v>46258.0</v>
      </c>
      <c r="C25" s="5" t="s">
        <v>35</v>
      </c>
      <c r="D25" s="5" t="s">
        <v>10</v>
      </c>
      <c r="E25" s="5">
        <v>4.0</v>
      </c>
      <c r="F25" s="5">
        <v>10500.0</v>
      </c>
      <c r="G25" s="5" t="s">
        <v>25</v>
      </c>
      <c r="H25" s="5" t="s">
        <v>26</v>
      </c>
      <c r="I25" s="7">
        <f t="shared" si="1"/>
        <v>42000</v>
      </c>
    </row>
    <row r="26">
      <c r="A26" s="5" t="s">
        <v>53</v>
      </c>
      <c r="B26" s="6">
        <v>46259.0</v>
      </c>
      <c r="C26" s="5" t="s">
        <v>28</v>
      </c>
      <c r="D26" s="5" t="s">
        <v>16</v>
      </c>
      <c r="E26" s="5">
        <v>7.0</v>
      </c>
      <c r="F26" s="5">
        <v>2100.0</v>
      </c>
      <c r="G26" s="5" t="s">
        <v>12</v>
      </c>
      <c r="H26" s="5" t="s">
        <v>18</v>
      </c>
      <c r="I26" s="7">
        <f t="shared" si="1"/>
        <v>14700</v>
      </c>
    </row>
    <row r="27">
      <c r="A27" s="5" t="s">
        <v>54</v>
      </c>
      <c r="B27" s="6">
        <v>46260.0</v>
      </c>
      <c r="C27" s="5" t="s">
        <v>31</v>
      </c>
      <c r="D27" s="5" t="s">
        <v>10</v>
      </c>
      <c r="E27" s="5">
        <v>2.0</v>
      </c>
      <c r="F27" s="5">
        <v>50000.0</v>
      </c>
      <c r="G27" s="5" t="s">
        <v>17</v>
      </c>
      <c r="H27" s="5" t="s">
        <v>29</v>
      </c>
      <c r="I27" s="7">
        <f t="shared" si="1"/>
        <v>100000</v>
      </c>
    </row>
    <row r="28">
      <c r="A28" s="5" t="s">
        <v>55</v>
      </c>
      <c r="B28" s="6">
        <v>46261.0</v>
      </c>
      <c r="C28" s="5" t="s">
        <v>39</v>
      </c>
      <c r="D28" s="5" t="s">
        <v>16</v>
      </c>
      <c r="E28" s="5">
        <v>6.0</v>
      </c>
      <c r="F28" s="5">
        <v>900.0</v>
      </c>
      <c r="G28" s="5" t="s">
        <v>21</v>
      </c>
      <c r="H28" s="5" t="s">
        <v>56</v>
      </c>
      <c r="I28" s="7">
        <f t="shared" si="1"/>
        <v>5400</v>
      </c>
    </row>
    <row r="29">
      <c r="A29" s="5" t="s">
        <v>57</v>
      </c>
      <c r="B29" s="6">
        <v>46262.0</v>
      </c>
      <c r="C29" s="5" t="s">
        <v>20</v>
      </c>
      <c r="D29" s="5" t="s">
        <v>16</v>
      </c>
      <c r="E29" s="5">
        <v>4.0</v>
      </c>
      <c r="F29" s="5">
        <v>1550.0</v>
      </c>
      <c r="G29" s="5" t="s">
        <v>25</v>
      </c>
      <c r="H29" s="5" t="s">
        <v>22</v>
      </c>
      <c r="I29" s="7">
        <f t="shared" si="1"/>
        <v>6200</v>
      </c>
    </row>
    <row r="30">
      <c r="A30" s="5" t="s">
        <v>58</v>
      </c>
      <c r="B30" s="6">
        <v>46263.0</v>
      </c>
      <c r="C30" s="5" t="s">
        <v>35</v>
      </c>
      <c r="D30" s="5" t="s">
        <v>10</v>
      </c>
      <c r="E30" s="5">
        <v>2.0</v>
      </c>
      <c r="F30" s="5">
        <v>11800.0</v>
      </c>
      <c r="G30" s="5" t="s">
        <v>12</v>
      </c>
      <c r="H30" s="5" t="s">
        <v>26</v>
      </c>
      <c r="I30" s="7">
        <f t="shared" si="1"/>
        <v>23600</v>
      </c>
    </row>
    <row r="31">
      <c r="A31" s="5" t="s">
        <v>59</v>
      </c>
      <c r="B31" s="6">
        <v>46264.0</v>
      </c>
      <c r="C31" s="5" t="s">
        <v>28</v>
      </c>
      <c r="D31" s="5" t="s">
        <v>16</v>
      </c>
      <c r="E31" s="5">
        <v>5.0</v>
      </c>
      <c r="F31" s="5">
        <v>2600.0</v>
      </c>
      <c r="G31" s="5" t="s">
        <v>17</v>
      </c>
      <c r="H31" s="5" t="s">
        <v>29</v>
      </c>
      <c r="I31" s="7">
        <f t="shared" si="1"/>
        <v>13000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4.75"/>
  </cols>
  <sheetData>
    <row r="1">
      <c r="A1" s="8"/>
      <c r="B1" s="8"/>
    </row>
    <row r="2">
      <c r="A2" s="9"/>
      <c r="B2" s="9"/>
    </row>
    <row r="3" ht="36.0" customHeight="1">
      <c r="A3" s="10"/>
      <c r="B3" s="11" t="s">
        <v>60</v>
      </c>
    </row>
    <row r="4">
      <c r="A4" s="9"/>
      <c r="B4" s="12"/>
    </row>
    <row r="5">
      <c r="A5" s="9"/>
      <c r="B5" s="12"/>
      <c r="C5" s="8"/>
    </row>
    <row r="6">
      <c r="A6" s="13" t="s">
        <v>61</v>
      </c>
      <c r="B6" s="13" t="s">
        <v>62</v>
      </c>
    </row>
    <row r="7">
      <c r="A7" s="14" t="s">
        <v>63</v>
      </c>
      <c r="B7" s="14">
        <v>835300.0</v>
      </c>
    </row>
    <row r="8">
      <c r="A8" s="14" t="s">
        <v>64</v>
      </c>
      <c r="B8" s="15">
        <f>COUNTA(salesdata!A2:A31)</f>
        <v>30</v>
      </c>
    </row>
    <row r="9">
      <c r="A9" s="14" t="s">
        <v>65</v>
      </c>
      <c r="B9" s="15">
        <f>SUM(salesdata!E2:E31)</f>
        <v>124</v>
      </c>
    </row>
    <row r="10">
      <c r="A10" s="14" t="s">
        <v>66</v>
      </c>
      <c r="B10" s="15">
        <f>AVERAGE(salesdata!I2:I31)</f>
        <v>27843.33333</v>
      </c>
    </row>
    <row r="11">
      <c r="A11" s="14" t="s">
        <v>67</v>
      </c>
      <c r="B11" s="15">
        <f>MAX(salesdata!I2:I31)</f>
        <v>138000</v>
      </c>
    </row>
    <row r="12">
      <c r="A12" s="14" t="s">
        <v>68</v>
      </c>
      <c r="B12" s="15">
        <f>MIN(salesdata!I2:I31)</f>
        <v>3400</v>
      </c>
    </row>
    <row r="13">
      <c r="A13" s="1"/>
    </row>
    <row r="17">
      <c r="A17" s="16" t="s">
        <v>69</v>
      </c>
      <c r="B17" s="16" t="s">
        <v>70</v>
      </c>
    </row>
    <row r="18">
      <c r="A18" s="17" t="s">
        <v>12</v>
      </c>
      <c r="B18" s="18">
        <f>SUMIF(salesdata!G2:G31,A18,salesdata!I2:I31)</f>
        <v>323250</v>
      </c>
      <c r="C18" s="8"/>
    </row>
    <row r="19">
      <c r="A19" s="17" t="s">
        <v>17</v>
      </c>
      <c r="B19" s="18">
        <f>SUMIF(salesdata!G3:G32,A19,salesdata!I3:I32)</f>
        <v>209950</v>
      </c>
      <c r="C19" s="9"/>
    </row>
    <row r="20">
      <c r="A20" s="17" t="s">
        <v>71</v>
      </c>
      <c r="B20" s="18">
        <f>SUMIF(salesdata!G2:G31,"*Amit*",salesdata!I2:I31)</f>
        <v>148700</v>
      </c>
      <c r="C20" s="12"/>
    </row>
    <row r="21">
      <c r="A21" s="17" t="s">
        <v>25</v>
      </c>
      <c r="B21" s="18">
        <f>SUMIF(salesdata!G5:G34,A21,salesdata!I5:I34)</f>
        <v>153400</v>
      </c>
      <c r="C21" s="12"/>
    </row>
    <row r="22">
      <c r="B22" s="9"/>
      <c r="C22" s="12"/>
    </row>
    <row r="23">
      <c r="B23" s="9"/>
      <c r="C23" s="12"/>
    </row>
    <row r="24">
      <c r="B24" s="9"/>
      <c r="C24" s="12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3">
      <c r="A33" s="1"/>
    </row>
  </sheetData>
  <drawing r:id="rId1"/>
</worksheet>
</file>